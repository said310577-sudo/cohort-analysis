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Cohort_tables" sheetId="2" r:id="rId6"/>
    <sheet state="visible" name="Conclusions" sheetId="3" r:id="rId7"/>
  </sheets>
  <definedNames>
    <definedName hidden="1" localSheetId="0" name="Z_9803874C_92F1_459A_B4EF_2D937F57C9F4_.wvu.FilterData">Data!$A$1:$D$105</definedName>
    <definedName name="SlicerCache_Table_1_Col_1">#N/A</definedName>
  </definedNames>
  <calcPr/>
  <customWorkbookViews>
    <customWorkbookView activeSheetId="0" maximized="1" windowHeight="0" windowWidth="0" guid="{9803874C-92F1-459A-B4EF-2D937F57C9F4}" name="Фільтр 1"/>
  </customWorkbookViews>
  <pivotCaches>
    <pivotCache cacheId="0" r:id="rId8"/>
  </pivotCaches>
  <extLst>
    <ext uri="{46BE6895-7355-4a93-B00E-2C351335B9C9}">
      <x15:slicerCaches>
        <x14:slicerCache r:id="rId9"/>
      </x15:slicerCaches>
    </ext>
  </extLst>
</workbook>
</file>

<file path=xl/sharedStrings.xml><?xml version="1.0" encoding="utf-8"?>
<sst xmlns="http://schemas.openxmlformats.org/spreadsheetml/2006/main" count="22" uniqueCount="18">
  <si>
    <t>promo_signup_flag</t>
  </si>
  <si>
    <t>cohort_month</t>
  </si>
  <si>
    <t>month_offset</t>
  </si>
  <si>
    <t>users_total</t>
  </si>
  <si>
    <t>SUM з users_total</t>
  </si>
  <si>
    <t>Загальний результат</t>
  </si>
  <si>
    <t>Retention Rate</t>
  </si>
  <si>
    <t>Під час порівняння когортних таблиць щодо користувачів залучених без промо та через промо-кампанії можна здійснити висновок,</t>
  </si>
  <si>
    <t>що органічні користувачі утримуються краще: відтік у них відбувається поступово, а частина користувачів залишається активною</t>
  </si>
  <si>
    <t>навіть через 6-8 місяців. У промо-когорт, навпаки, спостерігається різкий відтік уже в перші місяці, і в довгостроковій перспективі</t>
  </si>
  <si>
    <t xml:space="preserve">активних користувачів залишається значно менше. Це свідчить про те, що користувачі, залучені органічно, в середньому є більш </t>
  </si>
  <si>
    <t>зацікавленими в продукті, тоді як промо-канали дають швидкий приріст, але нижчу якість утримання.</t>
  </si>
  <si>
    <t>Рекомндаціі:</t>
  </si>
  <si>
    <t>1. Враховувати retention при оцінці промо-кампаній - при аналізі ефективності промо важливо дивитися не лише на кількість залучених</t>
  </si>
  <si>
    <t>користувачів, а й на те, як довго вони залишаються активними.</t>
  </si>
  <si>
    <t>2. Розвивати органічні канали залучення - оскільки органічні користувачі демонструють кращій retention,інвестиції в такі канали можуть</t>
  </si>
  <si>
    <t>бути більш ефективними у довгостроковій перспективі.</t>
  </si>
  <si>
    <t xml:space="preserve">3.Покращити онбордінг для промо-користувачів - найбільший віддтік промо-користувачів відбувається в перші місяці тому варто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</si>
</sst>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i/>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Font="1"/>
    <xf borderId="0" fillId="0" fontId="1" numFmtId="164" xfId="0" applyFont="1" applyNumberFormat="1"/>
    <xf borderId="0" fillId="0" fontId="2" numFmtId="0" xfId="0" applyAlignment="1" applyFont="1">
      <alignment readingOrder="0"/>
    </xf>
    <xf borderId="0" fillId="0" fontId="2" numFmtId="0" xfId="0" applyFont="1"/>
    <xf borderId="0" fillId="0" fontId="1" numFmtId="9" xfId="0" applyFont="1" applyNumberFormat="1"/>
    <xf borderId="0" fillId="0" fontId="1" numFmtId="9" xfId="0" applyAlignment="1" applyFont="1" applyNumberForma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314325</xdr:colOff>
      <xdr:row>0</xdr:row>
      <xdr:rowOff>209550</xdr:rowOff>
    </xdr:from>
    <xdr:ext cx="2857500" cy="2857500"/>
    <mc:AlternateContent>
      <mc:Choice Requires="sle15">
        <xdr:graphicFrame>
          <xdr:nvGraphicFramePr>
            <xdr:cNvPr id="1" name="promo_signup_flag_1"/>
            <xdr:cNvGraphicFramePr/>
          </xdr:nvGraphicFramePr>
          <xdr:xfrm>
            <a:off x="0" y="0"/>
            <a:ext cx="0" cy="0"/>
          </xdr:xfrm>
          <a:graphic>
            <a:graphicData uri="http://schemas.microsoft.com/office/drawing/2010/slicer">
              <x3Unk:slicer name="promo_signup_flag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D105" sheet="Data"/>
  </cacheSource>
  <cacheFields>
    <cacheField name="promo_signup_flag" numFmtId="0">
      <sharedItems containsSemiMixedTypes="0" containsString="0" containsNumber="1" containsInteger="1">
        <n v="0.0"/>
        <n v="1.0"/>
      </sharedItems>
    </cacheField>
    <cacheField name="cohort_month" numFmtId="164">
      <sharedItems containsSemiMixedTypes="0" containsDate="1" containsString="0">
        <d v="2025-01-01T00:00:00Z"/>
        <d v="2025-02-01T00:00:00Z"/>
        <d v="2025-03-01T00:00:00Z"/>
        <d v="2025-04-01T00:00:00Z"/>
        <d v="2025-05-01T00:00:00Z"/>
        <d v="2025-06-01T00:00:00Z"/>
      </sharedItems>
    </cacheField>
    <cacheField name="month_offset" numFmtId="0">
      <sharedItems containsSemiMixedTypes="0" containsString="0" containsNumber="1" containsInteger="1">
        <n v="0.0"/>
        <n v="1.0"/>
        <n v="2.0"/>
        <n v="3.0"/>
        <n v="4.0"/>
        <n v="5.0"/>
        <n v="6.0"/>
        <n v="7.0"/>
        <n v="8.0"/>
        <n v="9.0"/>
        <n v="10.0"/>
      </sharedItems>
    </cacheField>
    <cacheField name="users_total" numFmtId="0">
      <sharedItems containsSemiMixedTypes="0" containsString="0" containsNumber="1" containsInteger="1">
        <n v="70.0"/>
        <n v="58.0"/>
        <n v="55.0"/>
        <n v="52.0"/>
        <n v="43.0"/>
        <n v="40.0"/>
        <n v="39.0"/>
        <n v="18.0"/>
        <n v="7.0"/>
        <n v="3.0"/>
        <n v="1.0"/>
        <n v="63.0"/>
        <n v="47.0"/>
        <n v="48.0"/>
        <n v="49.0"/>
        <n v="45.0"/>
        <n v="38.0"/>
        <n v="17.0"/>
        <n v="10.0"/>
        <n v="4.0"/>
        <n v="51.0"/>
        <n v="41.0"/>
        <n v="37.0"/>
        <n v="30.0"/>
        <n v="26.0"/>
        <n v="16.0"/>
        <n v="9.0"/>
        <n v="5.0"/>
        <n v="61.0"/>
        <n v="50.0"/>
        <n v="36.0"/>
        <n v="11.0"/>
        <n v="6.0"/>
        <n v="53.0"/>
        <n v="42.0"/>
        <n v="23.0"/>
        <n v="35.0"/>
        <n v="32.0"/>
        <n v="2.0"/>
        <n v="34.0"/>
        <n v="21.0"/>
        <n v="24.0"/>
        <n v="13.0"/>
        <n v="8.0"/>
        <n v="31.0"/>
        <n v="14.0"/>
        <n v="44.0"/>
        <n v="12.0"/>
        <n v="29.0"/>
        <n v="25.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ohort_tables" cacheId="0" dataCaption="" colGrandTotals="0" compact="0" compactData="0">
  <location ref="A1:L9" firstHeaderRow="0" firstDataRow="1" firstDataCol="1"/>
  <pivotFields>
    <pivotField name="promo_signup_flag" compact="0" outline="0" multipleItemSelectionAllowed="1" showAll="0">
      <items>
        <item x="0"/>
        <item x="1"/>
        <item t="default"/>
      </items>
    </pivotField>
    <pivotField name="cohort_month" axis="axisRow" compact="0" numFmtId="164" outline="0" multipleItemSelectionAllowed="1" showAll="0" sortType="ascending">
      <items>
        <item x="0"/>
        <item x="1"/>
        <item x="2"/>
        <item x="3"/>
        <item x="4"/>
        <item x="5"/>
        <item t="default"/>
      </items>
    </pivotField>
    <pivotField name="month_offset" axis="axisCol" compact="0" outline="0" multipleItemSelectionAllowed="1" showAll="0" sortType="ascending">
      <items>
        <item x="0"/>
        <item x="1"/>
        <item x="2"/>
        <item x="3"/>
        <item x="4"/>
        <item x="5"/>
        <item x="6"/>
        <item x="7"/>
        <item x="8"/>
        <item x="9"/>
        <item x="10"/>
        <item t="default"/>
      </items>
    </pivotField>
    <pivotField name="users_tota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s>
  <rowFields>
    <field x="1"/>
  </rowFields>
  <colFields>
    <field x="2"/>
  </colFields>
  <dataFields>
    <dataField name="SUM of users_total" fld="3"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promo_signup_flag">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mo_signup_flag_1" cache="SlicerCache_Table_1_Col_1" caption="promo_signup_flag" rowHeight="247650"/>
</x14:slicers>
</file>

<file path=xl/tables/table1.xml><?xml version="1.0" encoding="utf-8"?>
<table xmlns="http://schemas.openxmlformats.org/spreadsheetml/2006/main" ref="A1:D105" displayName="Table_1" name="Table_1" id="1">
  <autoFilter ref="$A$1:$D$105"/>
  <tableColumns count="4">
    <tableColumn name="promo_signup_flag" id="1"/>
    <tableColumn name="cohort_month" id="2"/>
    <tableColumn name="month_offset" id="3"/>
    <tableColumn name="users_total" id="4"/>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3"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11.25"/>
    <col customWidth="1" min="3" max="3" width="10.63"/>
    <col customWidth="1" min="4" max="4" width="9.13"/>
  </cols>
  <sheetData>
    <row r="1">
      <c r="A1" s="1" t="s">
        <v>0</v>
      </c>
      <c r="B1" s="1" t="s">
        <v>1</v>
      </c>
      <c r="C1" s="1" t="s">
        <v>2</v>
      </c>
      <c r="D1" s="1" t="s">
        <v>3</v>
      </c>
    </row>
    <row r="2">
      <c r="A2" s="1">
        <v>0.0</v>
      </c>
      <c r="B2" s="2">
        <v>45658.0</v>
      </c>
      <c r="C2" s="1">
        <v>0.0</v>
      </c>
      <c r="D2" s="1">
        <v>70.0</v>
      </c>
    </row>
    <row r="3">
      <c r="A3" s="1">
        <v>0.0</v>
      </c>
      <c r="B3" s="2">
        <v>45658.0</v>
      </c>
      <c r="C3" s="1">
        <v>1.0</v>
      </c>
      <c r="D3" s="1">
        <v>58.0</v>
      </c>
    </row>
    <row r="4">
      <c r="A4" s="1">
        <v>0.0</v>
      </c>
      <c r="B4" s="2">
        <v>45658.0</v>
      </c>
      <c r="C4" s="1">
        <v>2.0</v>
      </c>
      <c r="D4" s="1">
        <v>55.0</v>
      </c>
    </row>
    <row r="5">
      <c r="A5" s="1">
        <v>0.0</v>
      </c>
      <c r="B5" s="2">
        <v>45658.0</v>
      </c>
      <c r="C5" s="1">
        <v>3.0</v>
      </c>
      <c r="D5" s="1">
        <v>52.0</v>
      </c>
    </row>
    <row r="6">
      <c r="A6" s="1">
        <v>0.0</v>
      </c>
      <c r="B6" s="2">
        <v>45658.0</v>
      </c>
      <c r="C6" s="1">
        <v>4.0</v>
      </c>
      <c r="D6" s="1">
        <v>43.0</v>
      </c>
    </row>
    <row r="7">
      <c r="A7" s="1">
        <v>0.0</v>
      </c>
      <c r="B7" s="2">
        <v>45658.0</v>
      </c>
      <c r="C7" s="1">
        <v>5.0</v>
      </c>
      <c r="D7" s="1">
        <v>40.0</v>
      </c>
    </row>
    <row r="8">
      <c r="A8" s="1">
        <v>0.0</v>
      </c>
      <c r="B8" s="2">
        <v>45658.0</v>
      </c>
      <c r="C8" s="1">
        <v>6.0</v>
      </c>
      <c r="D8" s="1">
        <v>39.0</v>
      </c>
    </row>
    <row r="9">
      <c r="A9" s="1">
        <v>0.0</v>
      </c>
      <c r="B9" s="2">
        <v>45658.0</v>
      </c>
      <c r="C9" s="1">
        <v>7.0</v>
      </c>
      <c r="D9" s="1">
        <v>18.0</v>
      </c>
    </row>
    <row r="10">
      <c r="A10" s="1">
        <v>0.0</v>
      </c>
      <c r="B10" s="2">
        <v>45658.0</v>
      </c>
      <c r="C10" s="1">
        <v>8.0</v>
      </c>
      <c r="D10" s="1">
        <v>7.0</v>
      </c>
    </row>
    <row r="11">
      <c r="A11" s="1">
        <v>0.0</v>
      </c>
      <c r="B11" s="2">
        <v>45658.0</v>
      </c>
      <c r="C11" s="1">
        <v>9.0</v>
      </c>
      <c r="D11" s="1">
        <v>3.0</v>
      </c>
    </row>
    <row r="12">
      <c r="A12" s="1">
        <v>0.0</v>
      </c>
      <c r="B12" s="2">
        <v>45658.0</v>
      </c>
      <c r="C12" s="1">
        <v>10.0</v>
      </c>
      <c r="D12" s="1">
        <v>1.0</v>
      </c>
    </row>
    <row r="13">
      <c r="A13" s="1">
        <v>0.0</v>
      </c>
      <c r="B13" s="2">
        <v>45689.0</v>
      </c>
      <c r="C13" s="1">
        <v>0.0</v>
      </c>
      <c r="D13" s="1">
        <v>63.0</v>
      </c>
    </row>
    <row r="14">
      <c r="A14" s="1">
        <v>0.0</v>
      </c>
      <c r="B14" s="2">
        <v>45689.0</v>
      </c>
      <c r="C14" s="1">
        <v>1.0</v>
      </c>
      <c r="D14" s="1">
        <v>47.0</v>
      </c>
    </row>
    <row r="15">
      <c r="A15" s="1">
        <v>0.0</v>
      </c>
      <c r="B15" s="2">
        <v>45689.0</v>
      </c>
      <c r="C15" s="1">
        <v>2.0</v>
      </c>
      <c r="D15" s="1">
        <v>48.0</v>
      </c>
    </row>
    <row r="16">
      <c r="A16" s="1">
        <v>0.0</v>
      </c>
      <c r="B16" s="2">
        <v>45689.0</v>
      </c>
      <c r="C16" s="1">
        <v>3.0</v>
      </c>
      <c r="D16" s="1">
        <v>49.0</v>
      </c>
    </row>
    <row r="17">
      <c r="A17" s="1">
        <v>0.0</v>
      </c>
      <c r="B17" s="2">
        <v>45689.0</v>
      </c>
      <c r="C17" s="1">
        <v>4.0</v>
      </c>
      <c r="D17" s="1">
        <v>43.0</v>
      </c>
    </row>
    <row r="18">
      <c r="A18" s="1">
        <v>0.0</v>
      </c>
      <c r="B18" s="2">
        <v>45689.0</v>
      </c>
      <c r="C18" s="1">
        <v>5.0</v>
      </c>
      <c r="D18" s="1">
        <v>45.0</v>
      </c>
    </row>
    <row r="19">
      <c r="A19" s="1">
        <v>0.0</v>
      </c>
      <c r="B19" s="2">
        <v>45689.0</v>
      </c>
      <c r="C19" s="1">
        <v>6.0</v>
      </c>
      <c r="D19" s="1">
        <v>38.0</v>
      </c>
    </row>
    <row r="20">
      <c r="A20" s="1">
        <v>0.0</v>
      </c>
      <c r="B20" s="2">
        <v>45689.0</v>
      </c>
      <c r="C20" s="1">
        <v>7.0</v>
      </c>
      <c r="D20" s="1">
        <v>17.0</v>
      </c>
    </row>
    <row r="21">
      <c r="A21" s="1">
        <v>0.0</v>
      </c>
      <c r="B21" s="2">
        <v>45689.0</v>
      </c>
      <c r="C21" s="1">
        <v>8.0</v>
      </c>
      <c r="D21" s="1">
        <v>10.0</v>
      </c>
    </row>
    <row r="22">
      <c r="A22" s="1">
        <v>0.0</v>
      </c>
      <c r="B22" s="2">
        <v>45689.0</v>
      </c>
      <c r="C22" s="1">
        <v>9.0</v>
      </c>
      <c r="D22" s="1">
        <v>4.0</v>
      </c>
    </row>
    <row r="23">
      <c r="A23" s="1">
        <v>0.0</v>
      </c>
      <c r="B23" s="2">
        <v>45717.0</v>
      </c>
      <c r="C23" s="1">
        <v>0.0</v>
      </c>
      <c r="D23" s="1">
        <v>51.0</v>
      </c>
    </row>
    <row r="24">
      <c r="A24" s="1">
        <v>0.0</v>
      </c>
      <c r="B24" s="2">
        <v>45717.0</v>
      </c>
      <c r="C24" s="1">
        <v>1.0</v>
      </c>
      <c r="D24" s="1">
        <v>41.0</v>
      </c>
    </row>
    <row r="25">
      <c r="A25" s="1">
        <v>0.0</v>
      </c>
      <c r="B25" s="2">
        <v>45717.0</v>
      </c>
      <c r="C25" s="1">
        <v>2.0</v>
      </c>
      <c r="D25" s="1">
        <v>47.0</v>
      </c>
    </row>
    <row r="26">
      <c r="A26" s="1">
        <v>0.0</v>
      </c>
      <c r="B26" s="2">
        <v>45717.0</v>
      </c>
      <c r="C26" s="1">
        <v>3.0</v>
      </c>
      <c r="D26" s="1">
        <v>41.0</v>
      </c>
    </row>
    <row r="27">
      <c r="A27" s="1">
        <v>0.0</v>
      </c>
      <c r="B27" s="2">
        <v>45717.0</v>
      </c>
      <c r="C27" s="1">
        <v>4.0</v>
      </c>
      <c r="D27" s="1">
        <v>37.0</v>
      </c>
    </row>
    <row r="28">
      <c r="A28" s="1">
        <v>0.0</v>
      </c>
      <c r="B28" s="2">
        <v>45717.0</v>
      </c>
      <c r="C28" s="1">
        <v>5.0</v>
      </c>
      <c r="D28" s="1">
        <v>30.0</v>
      </c>
    </row>
    <row r="29">
      <c r="A29" s="1">
        <v>0.0</v>
      </c>
      <c r="B29" s="2">
        <v>45717.0</v>
      </c>
      <c r="C29" s="1">
        <v>6.0</v>
      </c>
      <c r="D29" s="1">
        <v>26.0</v>
      </c>
    </row>
    <row r="30">
      <c r="A30" s="1">
        <v>0.0</v>
      </c>
      <c r="B30" s="2">
        <v>45717.0</v>
      </c>
      <c r="C30" s="1">
        <v>7.0</v>
      </c>
      <c r="D30" s="1">
        <v>16.0</v>
      </c>
    </row>
    <row r="31">
      <c r="A31" s="1">
        <v>0.0</v>
      </c>
      <c r="B31" s="2">
        <v>45717.0</v>
      </c>
      <c r="C31" s="1">
        <v>8.0</v>
      </c>
      <c r="D31" s="1">
        <v>9.0</v>
      </c>
    </row>
    <row r="32">
      <c r="A32" s="1">
        <v>0.0</v>
      </c>
      <c r="B32" s="2">
        <v>45717.0</v>
      </c>
      <c r="C32" s="1">
        <v>9.0</v>
      </c>
      <c r="D32" s="1">
        <v>5.0</v>
      </c>
    </row>
    <row r="33">
      <c r="A33" s="1">
        <v>0.0</v>
      </c>
      <c r="B33" s="2">
        <v>45717.0</v>
      </c>
      <c r="C33" s="1">
        <v>10.0</v>
      </c>
      <c r="D33" s="1">
        <v>1.0</v>
      </c>
    </row>
    <row r="34">
      <c r="A34" s="1">
        <v>0.0</v>
      </c>
      <c r="B34" s="2">
        <v>45748.0</v>
      </c>
      <c r="C34" s="1">
        <v>0.0</v>
      </c>
      <c r="D34" s="1">
        <v>61.0</v>
      </c>
    </row>
    <row r="35">
      <c r="A35" s="1">
        <v>0.0</v>
      </c>
      <c r="B35" s="2">
        <v>45748.0</v>
      </c>
      <c r="C35" s="1">
        <v>1.0</v>
      </c>
      <c r="D35" s="1">
        <v>50.0</v>
      </c>
    </row>
    <row r="36">
      <c r="A36" s="1">
        <v>0.0</v>
      </c>
      <c r="B36" s="2">
        <v>45748.0</v>
      </c>
      <c r="C36" s="1">
        <v>2.0</v>
      </c>
      <c r="D36" s="1">
        <v>47.0</v>
      </c>
    </row>
    <row r="37">
      <c r="A37" s="1">
        <v>0.0</v>
      </c>
      <c r="B37" s="2">
        <v>45748.0</v>
      </c>
      <c r="C37" s="1">
        <v>3.0</v>
      </c>
      <c r="D37" s="1">
        <v>47.0</v>
      </c>
    </row>
    <row r="38">
      <c r="A38" s="1">
        <v>0.0</v>
      </c>
      <c r="B38" s="2">
        <v>45748.0</v>
      </c>
      <c r="C38" s="1">
        <v>4.0</v>
      </c>
      <c r="D38" s="1">
        <v>36.0</v>
      </c>
    </row>
    <row r="39">
      <c r="A39" s="1">
        <v>0.0</v>
      </c>
      <c r="B39" s="2">
        <v>45748.0</v>
      </c>
      <c r="C39" s="1">
        <v>5.0</v>
      </c>
      <c r="D39" s="1">
        <v>38.0</v>
      </c>
    </row>
    <row r="40">
      <c r="A40" s="1">
        <v>0.0</v>
      </c>
      <c r="B40" s="2">
        <v>45748.0</v>
      </c>
      <c r="C40" s="1">
        <v>6.0</v>
      </c>
      <c r="D40" s="1">
        <v>36.0</v>
      </c>
    </row>
    <row r="41">
      <c r="A41" s="1">
        <v>0.0</v>
      </c>
      <c r="B41" s="2">
        <v>45748.0</v>
      </c>
      <c r="C41" s="1">
        <v>7.0</v>
      </c>
      <c r="D41" s="1">
        <v>11.0</v>
      </c>
    </row>
    <row r="42">
      <c r="A42" s="1">
        <v>0.0</v>
      </c>
      <c r="B42" s="2">
        <v>45748.0</v>
      </c>
      <c r="C42" s="1">
        <v>8.0</v>
      </c>
      <c r="D42" s="1">
        <v>6.0</v>
      </c>
    </row>
    <row r="43">
      <c r="A43" s="1">
        <v>0.0</v>
      </c>
      <c r="B43" s="2">
        <v>45748.0</v>
      </c>
      <c r="C43" s="1">
        <v>9.0</v>
      </c>
      <c r="D43" s="1">
        <v>6.0</v>
      </c>
    </row>
    <row r="44">
      <c r="A44" s="1">
        <v>0.0</v>
      </c>
      <c r="B44" s="2">
        <v>45748.0</v>
      </c>
      <c r="C44" s="1">
        <v>10.0</v>
      </c>
      <c r="D44" s="1">
        <v>1.0</v>
      </c>
    </row>
    <row r="45">
      <c r="A45" s="1">
        <v>0.0</v>
      </c>
      <c r="B45" s="2">
        <v>45778.0</v>
      </c>
      <c r="C45" s="1">
        <v>0.0</v>
      </c>
      <c r="D45" s="1">
        <v>63.0</v>
      </c>
    </row>
    <row r="46">
      <c r="A46" s="1">
        <v>0.0</v>
      </c>
      <c r="B46" s="2">
        <v>45778.0</v>
      </c>
      <c r="C46" s="1">
        <v>1.0</v>
      </c>
      <c r="D46" s="1">
        <v>55.0</v>
      </c>
    </row>
    <row r="47">
      <c r="A47" s="1">
        <v>0.0</v>
      </c>
      <c r="B47" s="2">
        <v>45778.0</v>
      </c>
      <c r="C47" s="1">
        <v>2.0</v>
      </c>
      <c r="D47" s="1">
        <v>53.0</v>
      </c>
    </row>
    <row r="48">
      <c r="A48" s="1">
        <v>0.0</v>
      </c>
      <c r="B48" s="2">
        <v>45778.0</v>
      </c>
      <c r="C48" s="1">
        <v>3.0</v>
      </c>
      <c r="D48" s="1">
        <v>47.0</v>
      </c>
    </row>
    <row r="49">
      <c r="A49" s="1">
        <v>0.0</v>
      </c>
      <c r="B49" s="2">
        <v>45778.0</v>
      </c>
      <c r="C49" s="1">
        <v>4.0</v>
      </c>
      <c r="D49" s="1">
        <v>45.0</v>
      </c>
    </row>
    <row r="50">
      <c r="A50" s="1">
        <v>0.0</v>
      </c>
      <c r="B50" s="2">
        <v>45778.0</v>
      </c>
      <c r="C50" s="1">
        <v>5.0</v>
      </c>
      <c r="D50" s="1">
        <v>42.0</v>
      </c>
    </row>
    <row r="51">
      <c r="A51" s="1">
        <v>0.0</v>
      </c>
      <c r="B51" s="2">
        <v>45778.0</v>
      </c>
      <c r="C51" s="1">
        <v>6.0</v>
      </c>
      <c r="D51" s="1">
        <v>23.0</v>
      </c>
    </row>
    <row r="52">
      <c r="A52" s="1">
        <v>0.0</v>
      </c>
      <c r="B52" s="2">
        <v>45778.0</v>
      </c>
      <c r="C52" s="1">
        <v>7.0</v>
      </c>
      <c r="D52" s="1">
        <v>10.0</v>
      </c>
    </row>
    <row r="53">
      <c r="A53" s="1">
        <v>0.0</v>
      </c>
      <c r="B53" s="2">
        <v>45778.0</v>
      </c>
      <c r="C53" s="1">
        <v>8.0</v>
      </c>
      <c r="D53" s="1">
        <v>7.0</v>
      </c>
    </row>
    <row r="54">
      <c r="A54" s="1">
        <v>0.0</v>
      </c>
      <c r="B54" s="2">
        <v>45778.0</v>
      </c>
      <c r="C54" s="1">
        <v>9.0</v>
      </c>
      <c r="D54" s="1">
        <v>3.0</v>
      </c>
    </row>
    <row r="55">
      <c r="A55" s="1">
        <v>0.0</v>
      </c>
      <c r="B55" s="2">
        <v>45809.0</v>
      </c>
      <c r="C55" s="1">
        <v>0.0</v>
      </c>
      <c r="D55" s="1">
        <v>50.0</v>
      </c>
    </row>
    <row r="56">
      <c r="A56" s="1">
        <v>0.0</v>
      </c>
      <c r="B56" s="2">
        <v>45809.0</v>
      </c>
      <c r="C56" s="1">
        <v>1.0</v>
      </c>
      <c r="D56" s="1">
        <v>37.0</v>
      </c>
    </row>
    <row r="57">
      <c r="A57" s="1">
        <v>0.0</v>
      </c>
      <c r="B57" s="2">
        <v>45809.0</v>
      </c>
      <c r="C57" s="1">
        <v>2.0</v>
      </c>
      <c r="D57" s="1">
        <v>42.0</v>
      </c>
    </row>
    <row r="58">
      <c r="A58" s="1">
        <v>0.0</v>
      </c>
      <c r="B58" s="2">
        <v>45809.0</v>
      </c>
      <c r="C58" s="1">
        <v>3.0</v>
      </c>
      <c r="D58" s="1">
        <v>39.0</v>
      </c>
    </row>
    <row r="59">
      <c r="A59" s="1">
        <v>0.0</v>
      </c>
      <c r="B59" s="2">
        <v>45809.0</v>
      </c>
      <c r="C59" s="1">
        <v>4.0</v>
      </c>
      <c r="D59" s="1">
        <v>35.0</v>
      </c>
    </row>
    <row r="60">
      <c r="A60" s="1">
        <v>0.0</v>
      </c>
      <c r="B60" s="2">
        <v>45809.0</v>
      </c>
      <c r="C60" s="1">
        <v>5.0</v>
      </c>
      <c r="D60" s="1">
        <v>32.0</v>
      </c>
    </row>
    <row r="61">
      <c r="A61" s="1">
        <v>0.0</v>
      </c>
      <c r="B61" s="2">
        <v>45809.0</v>
      </c>
      <c r="C61" s="1">
        <v>6.0</v>
      </c>
      <c r="D61" s="1">
        <v>23.0</v>
      </c>
    </row>
    <row r="62">
      <c r="A62" s="1">
        <v>0.0</v>
      </c>
      <c r="B62" s="2">
        <v>45809.0</v>
      </c>
      <c r="C62" s="1">
        <v>7.0</v>
      </c>
      <c r="D62" s="1">
        <v>9.0</v>
      </c>
    </row>
    <row r="63">
      <c r="A63" s="1">
        <v>0.0</v>
      </c>
      <c r="B63" s="2">
        <v>45809.0</v>
      </c>
      <c r="C63" s="1">
        <v>8.0</v>
      </c>
      <c r="D63" s="1">
        <v>5.0</v>
      </c>
    </row>
    <row r="64">
      <c r="A64" s="1">
        <v>0.0</v>
      </c>
      <c r="B64" s="2">
        <v>45809.0</v>
      </c>
      <c r="C64" s="1">
        <v>9.0</v>
      </c>
      <c r="D64" s="1">
        <v>5.0</v>
      </c>
    </row>
    <row r="65">
      <c r="A65" s="1">
        <v>0.0</v>
      </c>
      <c r="B65" s="2">
        <v>45809.0</v>
      </c>
      <c r="C65" s="1">
        <v>10.0</v>
      </c>
      <c r="D65" s="1">
        <v>2.0</v>
      </c>
    </row>
    <row r="66">
      <c r="A66" s="1">
        <v>1.0</v>
      </c>
      <c r="B66" s="2">
        <v>45658.0</v>
      </c>
      <c r="C66" s="1">
        <v>0.0</v>
      </c>
      <c r="D66" s="1">
        <v>34.0</v>
      </c>
    </row>
    <row r="67">
      <c r="A67" s="1">
        <v>1.0</v>
      </c>
      <c r="B67" s="2">
        <v>45658.0</v>
      </c>
      <c r="C67" s="1">
        <v>1.0</v>
      </c>
      <c r="D67" s="1">
        <v>21.0</v>
      </c>
    </row>
    <row r="68">
      <c r="A68" s="1">
        <v>1.0</v>
      </c>
      <c r="B68" s="2">
        <v>45658.0</v>
      </c>
      <c r="C68" s="1">
        <v>2.0</v>
      </c>
      <c r="D68" s="1">
        <v>17.0</v>
      </c>
    </row>
    <row r="69">
      <c r="A69" s="1">
        <v>1.0</v>
      </c>
      <c r="B69" s="2">
        <v>45658.0</v>
      </c>
      <c r="C69" s="1">
        <v>3.0</v>
      </c>
      <c r="D69" s="1">
        <v>3.0</v>
      </c>
    </row>
    <row r="70">
      <c r="A70" s="1">
        <v>1.0</v>
      </c>
      <c r="B70" s="2">
        <v>45658.0</v>
      </c>
      <c r="C70" s="1">
        <v>4.0</v>
      </c>
      <c r="D70" s="1">
        <v>6.0</v>
      </c>
    </row>
    <row r="71">
      <c r="A71" s="1">
        <v>1.0</v>
      </c>
      <c r="B71" s="2">
        <v>45658.0</v>
      </c>
      <c r="C71" s="1">
        <v>5.0</v>
      </c>
      <c r="D71" s="1">
        <v>3.0</v>
      </c>
    </row>
    <row r="72">
      <c r="A72" s="1">
        <v>1.0</v>
      </c>
      <c r="B72" s="2">
        <v>45689.0</v>
      </c>
      <c r="C72" s="1">
        <v>0.0</v>
      </c>
      <c r="D72" s="1">
        <v>41.0</v>
      </c>
    </row>
    <row r="73">
      <c r="A73" s="1">
        <v>1.0</v>
      </c>
      <c r="B73" s="2">
        <v>45689.0</v>
      </c>
      <c r="C73" s="1">
        <v>1.0</v>
      </c>
      <c r="D73" s="1">
        <v>24.0</v>
      </c>
    </row>
    <row r="74">
      <c r="A74" s="1">
        <v>1.0</v>
      </c>
      <c r="B74" s="2">
        <v>45689.0</v>
      </c>
      <c r="C74" s="1">
        <v>2.0</v>
      </c>
      <c r="D74" s="1">
        <v>18.0</v>
      </c>
    </row>
    <row r="75">
      <c r="A75" s="1">
        <v>1.0</v>
      </c>
      <c r="B75" s="2">
        <v>45689.0</v>
      </c>
      <c r="C75" s="1">
        <v>3.0</v>
      </c>
      <c r="D75" s="1">
        <v>13.0</v>
      </c>
    </row>
    <row r="76">
      <c r="A76" s="1">
        <v>1.0</v>
      </c>
      <c r="B76" s="2">
        <v>45689.0</v>
      </c>
      <c r="C76" s="1">
        <v>4.0</v>
      </c>
      <c r="D76" s="1">
        <v>8.0</v>
      </c>
    </row>
    <row r="77">
      <c r="A77" s="1">
        <v>1.0</v>
      </c>
      <c r="B77" s="2">
        <v>45689.0</v>
      </c>
      <c r="C77" s="1">
        <v>5.0</v>
      </c>
      <c r="D77" s="1">
        <v>3.0</v>
      </c>
    </row>
    <row r="78">
      <c r="A78" s="1">
        <v>1.0</v>
      </c>
      <c r="B78" s="2">
        <v>45689.0</v>
      </c>
      <c r="C78" s="1">
        <v>6.0</v>
      </c>
      <c r="D78" s="1">
        <v>2.0</v>
      </c>
    </row>
    <row r="79">
      <c r="A79" s="1">
        <v>1.0</v>
      </c>
      <c r="B79" s="2">
        <v>45717.0</v>
      </c>
      <c r="C79" s="1">
        <v>0.0</v>
      </c>
      <c r="D79" s="1">
        <v>31.0</v>
      </c>
    </row>
    <row r="80">
      <c r="A80" s="1">
        <v>1.0</v>
      </c>
      <c r="B80" s="2">
        <v>45717.0</v>
      </c>
      <c r="C80" s="1">
        <v>1.0</v>
      </c>
      <c r="D80" s="1">
        <v>18.0</v>
      </c>
    </row>
    <row r="81">
      <c r="A81" s="1">
        <v>1.0</v>
      </c>
      <c r="B81" s="2">
        <v>45717.0</v>
      </c>
      <c r="C81" s="1">
        <v>2.0</v>
      </c>
      <c r="D81" s="1">
        <v>14.0</v>
      </c>
    </row>
    <row r="82">
      <c r="A82" s="1">
        <v>1.0</v>
      </c>
      <c r="B82" s="2">
        <v>45717.0</v>
      </c>
      <c r="C82" s="1">
        <v>3.0</v>
      </c>
      <c r="D82" s="1">
        <v>11.0</v>
      </c>
    </row>
    <row r="83">
      <c r="A83" s="1">
        <v>1.0</v>
      </c>
      <c r="B83" s="2">
        <v>45717.0</v>
      </c>
      <c r="C83" s="1">
        <v>4.0</v>
      </c>
      <c r="D83" s="1">
        <v>3.0</v>
      </c>
    </row>
    <row r="84">
      <c r="A84" s="1">
        <v>1.0</v>
      </c>
      <c r="B84" s="2">
        <v>45717.0</v>
      </c>
      <c r="C84" s="1">
        <v>5.0</v>
      </c>
      <c r="D84" s="1">
        <v>2.0</v>
      </c>
    </row>
    <row r="85">
      <c r="A85" s="1">
        <v>1.0</v>
      </c>
      <c r="B85" s="2">
        <v>45748.0</v>
      </c>
      <c r="C85" s="1">
        <v>0.0</v>
      </c>
      <c r="D85" s="1">
        <v>44.0</v>
      </c>
    </row>
    <row r="86">
      <c r="A86" s="1">
        <v>1.0</v>
      </c>
      <c r="B86" s="2">
        <v>45748.0</v>
      </c>
      <c r="C86" s="1">
        <v>1.0</v>
      </c>
      <c r="D86" s="1">
        <v>24.0</v>
      </c>
    </row>
    <row r="87">
      <c r="A87" s="1">
        <v>1.0</v>
      </c>
      <c r="B87" s="2">
        <v>45748.0</v>
      </c>
      <c r="C87" s="1">
        <v>2.0</v>
      </c>
      <c r="D87" s="1">
        <v>14.0</v>
      </c>
    </row>
    <row r="88">
      <c r="A88" s="1">
        <v>1.0</v>
      </c>
      <c r="B88" s="2">
        <v>45748.0</v>
      </c>
      <c r="C88" s="1">
        <v>3.0</v>
      </c>
      <c r="D88" s="1">
        <v>18.0</v>
      </c>
    </row>
    <row r="89">
      <c r="A89" s="1">
        <v>1.0</v>
      </c>
      <c r="B89" s="2">
        <v>45748.0</v>
      </c>
      <c r="C89" s="1">
        <v>4.0</v>
      </c>
      <c r="D89" s="1">
        <v>12.0</v>
      </c>
    </row>
    <row r="90">
      <c r="A90" s="1">
        <v>1.0</v>
      </c>
      <c r="B90" s="2">
        <v>45748.0</v>
      </c>
      <c r="C90" s="1">
        <v>5.0</v>
      </c>
      <c r="D90" s="1">
        <v>6.0</v>
      </c>
    </row>
    <row r="91">
      <c r="A91" s="1">
        <v>1.0</v>
      </c>
      <c r="B91" s="2">
        <v>45748.0</v>
      </c>
      <c r="C91" s="1">
        <v>6.0</v>
      </c>
      <c r="D91" s="1">
        <v>3.0</v>
      </c>
    </row>
    <row r="92">
      <c r="A92" s="1">
        <v>1.0</v>
      </c>
      <c r="B92" s="2">
        <v>45748.0</v>
      </c>
      <c r="C92" s="1">
        <v>7.0</v>
      </c>
      <c r="D92" s="1">
        <v>1.0</v>
      </c>
    </row>
    <row r="93">
      <c r="A93" s="1">
        <v>1.0</v>
      </c>
      <c r="B93" s="2">
        <v>45778.0</v>
      </c>
      <c r="C93" s="1">
        <v>0.0</v>
      </c>
      <c r="D93" s="1">
        <v>45.0</v>
      </c>
    </row>
    <row r="94">
      <c r="A94" s="1">
        <v>1.0</v>
      </c>
      <c r="B94" s="2">
        <v>45778.0</v>
      </c>
      <c r="C94" s="1">
        <v>1.0</v>
      </c>
      <c r="D94" s="1">
        <v>21.0</v>
      </c>
    </row>
    <row r="95">
      <c r="A95" s="1">
        <v>1.0</v>
      </c>
      <c r="B95" s="2">
        <v>45778.0</v>
      </c>
      <c r="C95" s="1">
        <v>2.0</v>
      </c>
      <c r="D95" s="1">
        <v>24.0</v>
      </c>
    </row>
    <row r="96">
      <c r="A96" s="1">
        <v>1.0</v>
      </c>
      <c r="B96" s="2">
        <v>45778.0</v>
      </c>
      <c r="C96" s="1">
        <v>3.0</v>
      </c>
      <c r="D96" s="1">
        <v>16.0</v>
      </c>
    </row>
    <row r="97">
      <c r="A97" s="1">
        <v>1.0</v>
      </c>
      <c r="B97" s="2">
        <v>45778.0</v>
      </c>
      <c r="C97" s="1">
        <v>4.0</v>
      </c>
      <c r="D97" s="1">
        <v>11.0</v>
      </c>
    </row>
    <row r="98">
      <c r="A98" s="1">
        <v>1.0</v>
      </c>
      <c r="B98" s="2">
        <v>45778.0</v>
      </c>
      <c r="C98" s="1">
        <v>5.0</v>
      </c>
      <c r="D98" s="1">
        <v>5.0</v>
      </c>
    </row>
    <row r="99">
      <c r="A99" s="1">
        <v>1.0</v>
      </c>
      <c r="B99" s="2">
        <v>45778.0</v>
      </c>
      <c r="C99" s="1">
        <v>6.0</v>
      </c>
      <c r="D99" s="1">
        <v>4.0</v>
      </c>
    </row>
    <row r="100">
      <c r="A100" s="1">
        <v>1.0</v>
      </c>
      <c r="B100" s="2">
        <v>45809.0</v>
      </c>
      <c r="C100" s="1">
        <v>0.0</v>
      </c>
      <c r="D100" s="1">
        <v>47.0</v>
      </c>
    </row>
    <row r="101">
      <c r="A101" s="1">
        <v>1.0</v>
      </c>
      <c r="B101" s="2">
        <v>45809.0</v>
      </c>
      <c r="C101" s="1">
        <v>1.0</v>
      </c>
      <c r="D101" s="1">
        <v>29.0</v>
      </c>
    </row>
    <row r="102">
      <c r="A102" s="1">
        <v>1.0</v>
      </c>
      <c r="B102" s="2">
        <v>45809.0</v>
      </c>
      <c r="C102" s="1">
        <v>2.0</v>
      </c>
      <c r="D102" s="1">
        <v>25.0</v>
      </c>
    </row>
    <row r="103">
      <c r="A103" s="1">
        <v>1.0</v>
      </c>
      <c r="B103" s="2">
        <v>45809.0</v>
      </c>
      <c r="C103" s="1">
        <v>3.0</v>
      </c>
      <c r="D103" s="1">
        <v>8.0</v>
      </c>
    </row>
    <row r="104">
      <c r="A104" s="1">
        <v>1.0</v>
      </c>
      <c r="B104" s="2">
        <v>45809.0</v>
      </c>
      <c r="C104" s="1">
        <v>4.0</v>
      </c>
      <c r="D104" s="1">
        <v>6.0</v>
      </c>
    </row>
    <row r="105">
      <c r="A105" s="1">
        <v>1.0</v>
      </c>
      <c r="B105" s="2">
        <v>45809.0</v>
      </c>
      <c r="C105" s="1">
        <v>5.0</v>
      </c>
      <c r="D105" s="1">
        <v>7.0</v>
      </c>
    </row>
  </sheetData>
  <customSheetViews>
    <customSheetView guid="{9803874C-92F1-459A-B4EF-2D937F57C9F4}" filter="1" showAutoFilter="1">
      <autoFilter ref="$A$1:$D$105"/>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12" width="6.5"/>
    <col customWidth="1" min="13" max="13" width="17.0"/>
  </cols>
  <sheetData>
    <row r="1"/>
    <row r="2"/>
    <row r="3"/>
    <row r="4"/>
    <row r="5"/>
    <row r="6"/>
    <row r="7"/>
    <row r="8"/>
    <row r="9"/>
    <row r="11">
      <c r="A11" s="5" t="s">
        <v>6</v>
      </c>
      <c r="B11" s="5" t="s">
        <v>2</v>
      </c>
    </row>
    <row r="12">
      <c r="A12" s="6" t="s">
        <v>1</v>
      </c>
      <c r="B12" s="3">
        <v>0.0</v>
      </c>
      <c r="C12" s="3">
        <v>1.0</v>
      </c>
      <c r="D12" s="3">
        <v>2.0</v>
      </c>
      <c r="E12" s="3">
        <v>3.0</v>
      </c>
      <c r="F12" s="3">
        <v>4.0</v>
      </c>
      <c r="G12" s="3">
        <v>5.0</v>
      </c>
      <c r="H12" s="3">
        <v>6.0</v>
      </c>
      <c r="I12" s="3">
        <v>7.0</v>
      </c>
      <c r="J12" s="3">
        <v>8.0</v>
      </c>
      <c r="K12" s="3">
        <v>9.0</v>
      </c>
      <c r="L12" s="3">
        <v>10.0</v>
      </c>
      <c r="N12" s="7"/>
      <c r="O12" s="7"/>
      <c r="P12" s="7"/>
      <c r="Q12" s="7"/>
      <c r="R12" s="7"/>
      <c r="S12" s="7"/>
      <c r="T12" s="7"/>
      <c r="U12" s="7"/>
      <c r="V12" s="7"/>
      <c r="W12" s="7"/>
    </row>
    <row r="13">
      <c r="A13" s="4">
        <v>45658.0</v>
      </c>
      <c r="B13" s="8">
        <v>1.0</v>
      </c>
      <c r="C13" s="7">
        <f t="shared" ref="C13:L13" si="1">if(C3 = "", "", C3/$B3)</f>
        <v>0.7596153846</v>
      </c>
      <c r="D13" s="7">
        <f t="shared" si="1"/>
        <v>0.6923076923</v>
      </c>
      <c r="E13" s="7">
        <f t="shared" si="1"/>
        <v>0.5288461538</v>
      </c>
      <c r="F13" s="7">
        <f t="shared" si="1"/>
        <v>0.4711538462</v>
      </c>
      <c r="G13" s="7">
        <f t="shared" si="1"/>
        <v>0.4134615385</v>
      </c>
      <c r="H13" s="7">
        <f t="shared" si="1"/>
        <v>0.375</v>
      </c>
      <c r="I13" s="7">
        <f t="shared" si="1"/>
        <v>0.1730769231</v>
      </c>
      <c r="J13" s="7">
        <f t="shared" si="1"/>
        <v>0.06730769231</v>
      </c>
      <c r="K13" s="7">
        <f t="shared" si="1"/>
        <v>0.02884615385</v>
      </c>
      <c r="L13" s="7">
        <f t="shared" si="1"/>
        <v>0.009615384615</v>
      </c>
    </row>
    <row r="14">
      <c r="A14" s="4">
        <v>45689.0</v>
      </c>
      <c r="B14" s="8">
        <v>1.0</v>
      </c>
      <c r="C14" s="7">
        <f t="shared" ref="C14:L14" si="2">if(C4 = "", "", C4/$B4)</f>
        <v>0.6826923077</v>
      </c>
      <c r="D14" s="7">
        <f t="shared" si="2"/>
        <v>0.6346153846</v>
      </c>
      <c r="E14" s="7">
        <f t="shared" si="2"/>
        <v>0.5961538462</v>
      </c>
      <c r="F14" s="7">
        <f t="shared" si="2"/>
        <v>0.4903846154</v>
      </c>
      <c r="G14" s="7">
        <f t="shared" si="2"/>
        <v>0.4615384615</v>
      </c>
      <c r="H14" s="7">
        <f t="shared" si="2"/>
        <v>0.3846153846</v>
      </c>
      <c r="I14" s="7">
        <f t="shared" si="2"/>
        <v>0.1634615385</v>
      </c>
      <c r="J14" s="7">
        <f t="shared" si="2"/>
        <v>0.09615384615</v>
      </c>
      <c r="K14" s="7">
        <f t="shared" si="2"/>
        <v>0.03846153846</v>
      </c>
      <c r="L14" s="7" t="str">
        <f t="shared" si="2"/>
        <v/>
      </c>
    </row>
    <row r="15">
      <c r="A15" s="4">
        <v>45717.0</v>
      </c>
      <c r="B15" s="8">
        <v>1.0</v>
      </c>
      <c r="C15" s="7">
        <f t="shared" ref="C15:L15" si="3">if(C5 = "", "", C5/$B5)</f>
        <v>0.7195121951</v>
      </c>
      <c r="D15" s="7">
        <f t="shared" si="3"/>
        <v>0.743902439</v>
      </c>
      <c r="E15" s="7">
        <f t="shared" si="3"/>
        <v>0.6341463415</v>
      </c>
      <c r="F15" s="7">
        <f t="shared" si="3"/>
        <v>0.487804878</v>
      </c>
      <c r="G15" s="7">
        <f t="shared" si="3"/>
        <v>0.3902439024</v>
      </c>
      <c r="H15" s="7">
        <f t="shared" si="3"/>
        <v>0.3170731707</v>
      </c>
      <c r="I15" s="7">
        <f t="shared" si="3"/>
        <v>0.1951219512</v>
      </c>
      <c r="J15" s="7">
        <f t="shared" si="3"/>
        <v>0.1097560976</v>
      </c>
      <c r="K15" s="7">
        <f t="shared" si="3"/>
        <v>0.06097560976</v>
      </c>
      <c r="L15" s="7">
        <f t="shared" si="3"/>
        <v>0.01219512195</v>
      </c>
    </row>
    <row r="16">
      <c r="A16" s="4">
        <v>45748.0</v>
      </c>
      <c r="B16" s="8">
        <v>1.0</v>
      </c>
      <c r="C16" s="7">
        <f t="shared" ref="C16:L16" si="4">if(C6 = "", "", C6/$B6)</f>
        <v>0.7047619048</v>
      </c>
      <c r="D16" s="7">
        <f t="shared" si="4"/>
        <v>0.580952381</v>
      </c>
      <c r="E16" s="7">
        <f t="shared" si="4"/>
        <v>0.619047619</v>
      </c>
      <c r="F16" s="7">
        <f t="shared" si="4"/>
        <v>0.4571428571</v>
      </c>
      <c r="G16" s="7">
        <f t="shared" si="4"/>
        <v>0.419047619</v>
      </c>
      <c r="H16" s="7">
        <f t="shared" si="4"/>
        <v>0.3714285714</v>
      </c>
      <c r="I16" s="7">
        <f t="shared" si="4"/>
        <v>0.1142857143</v>
      </c>
      <c r="J16" s="7">
        <f t="shared" si="4"/>
        <v>0.05714285714</v>
      </c>
      <c r="K16" s="7">
        <f t="shared" si="4"/>
        <v>0.05714285714</v>
      </c>
      <c r="L16" s="7">
        <f t="shared" si="4"/>
        <v>0.009523809524</v>
      </c>
    </row>
    <row r="17">
      <c r="A17" s="4">
        <v>45778.0</v>
      </c>
      <c r="B17" s="8">
        <v>1.0</v>
      </c>
      <c r="C17" s="7">
        <f t="shared" ref="C17:L17" si="5">if(C7 = "", "", C7/$B7)</f>
        <v>0.7037037037</v>
      </c>
      <c r="D17" s="7">
        <f t="shared" si="5"/>
        <v>0.712962963</v>
      </c>
      <c r="E17" s="7">
        <f t="shared" si="5"/>
        <v>0.5833333333</v>
      </c>
      <c r="F17" s="7">
        <f t="shared" si="5"/>
        <v>0.5185185185</v>
      </c>
      <c r="G17" s="7">
        <f t="shared" si="5"/>
        <v>0.4351851852</v>
      </c>
      <c r="H17" s="7">
        <f t="shared" si="5"/>
        <v>0.25</v>
      </c>
      <c r="I17" s="7">
        <f t="shared" si="5"/>
        <v>0.09259259259</v>
      </c>
      <c r="J17" s="7">
        <f t="shared" si="5"/>
        <v>0.06481481481</v>
      </c>
      <c r="K17" s="7">
        <f t="shared" si="5"/>
        <v>0.02777777778</v>
      </c>
      <c r="L17" s="7" t="str">
        <f t="shared" si="5"/>
        <v/>
      </c>
    </row>
    <row r="18">
      <c r="A18" s="4">
        <v>45809.0</v>
      </c>
      <c r="B18" s="8">
        <v>1.0</v>
      </c>
      <c r="C18" s="7">
        <f t="shared" ref="C18:L18" si="6">if(C8 = "", "", C8/$B8)</f>
        <v>0.6804123711</v>
      </c>
      <c r="D18" s="7">
        <f t="shared" si="6"/>
        <v>0.6907216495</v>
      </c>
      <c r="E18" s="7">
        <f t="shared" si="6"/>
        <v>0.4845360825</v>
      </c>
      <c r="F18" s="7">
        <f t="shared" si="6"/>
        <v>0.4226804124</v>
      </c>
      <c r="G18" s="7">
        <f t="shared" si="6"/>
        <v>0.4020618557</v>
      </c>
      <c r="H18" s="7">
        <f t="shared" si="6"/>
        <v>0.2371134021</v>
      </c>
      <c r="I18" s="7">
        <f t="shared" si="6"/>
        <v>0.09278350515</v>
      </c>
      <c r="J18" s="7">
        <f t="shared" si="6"/>
        <v>0.05154639175</v>
      </c>
      <c r="K18" s="7">
        <f t="shared" si="6"/>
        <v>0.05154639175</v>
      </c>
      <c r="L18" s="7">
        <f t="shared" si="6"/>
        <v>0.0206185567</v>
      </c>
    </row>
  </sheetData>
  <conditionalFormatting sqref="B3:L8">
    <cfRule type="colorScale" priority="1">
      <colorScale>
        <cfvo type="min"/>
        <cfvo type="max"/>
        <color rgb="FFFFE599"/>
        <color rgb="FF4285F4"/>
      </colorScale>
    </cfRule>
  </conditionalFormatting>
  <drawing r:id="rId2"/>
  <extLst>
    <ext uri="{3A4CF648-6AED-40f4-86FF-DC5316D8AED3}">
      <x14:slicerList>
        <x14:slicer r:id="rId3"/>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v>
      </c>
    </row>
    <row r="2">
      <c r="A2" s="1" t="s">
        <v>8</v>
      </c>
    </row>
    <row r="3">
      <c r="A3" s="1" t="s">
        <v>9</v>
      </c>
    </row>
    <row r="4">
      <c r="A4" s="1" t="s">
        <v>10</v>
      </c>
    </row>
    <row r="5">
      <c r="A5" s="1" t="s">
        <v>11</v>
      </c>
    </row>
    <row r="6">
      <c r="A6" s="1" t="s">
        <v>12</v>
      </c>
    </row>
    <row r="7">
      <c r="A7" s="1" t="s">
        <v>13</v>
      </c>
    </row>
    <row r="8">
      <c r="A8" s="1" t="s">
        <v>14</v>
      </c>
    </row>
    <row r="9">
      <c r="A9" s="1" t="s">
        <v>15</v>
      </c>
    </row>
    <row r="10">
      <c r="A10" s="1" t="s">
        <v>16</v>
      </c>
    </row>
    <row r="11">
      <c r="A11" s="1" t="s">
        <v>17</v>
      </c>
    </row>
  </sheetData>
  <drawing r:id="rId1"/>
</worksheet>
</file>